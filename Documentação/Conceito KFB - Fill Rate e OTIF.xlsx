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matsuforest-my.sharepoint.com/personal/ramon_lara_komatsuforest_com/Documents/Área de Trabalho/kms_OTIF_E_Fill_Rate/Documentação/"/>
    </mc:Choice>
  </mc:AlternateContent>
  <xr:revisionPtr revIDLastSave="27" documentId="8_{E191AB57-9F22-4B70-8DF5-244B50C0D7BA}" xr6:coauthVersionLast="47" xr6:coauthVersionMax="47" xr10:uidLastSave="{88D548C3-4695-4F34-816C-72475B854179}"/>
  <bookViews>
    <workbookView xWindow="-110" yWindow="-110" windowWidth="19420" windowHeight="11500" xr2:uid="{C9AF9F4E-61CD-41E0-9F26-44A8C6A5384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23" i="1"/>
  <c r="G33" i="1"/>
  <c r="G14" i="1"/>
  <c r="G25" i="1"/>
  <c r="G8" i="1"/>
  <c r="J8" i="1"/>
  <c r="J31" i="1"/>
  <c r="J32" i="1"/>
  <c r="G31" i="1"/>
  <c r="G30" i="1"/>
  <c r="G29" i="1"/>
  <c r="H29" i="1" s="1"/>
  <c r="G28" i="1"/>
  <c r="G27" i="1"/>
  <c r="G26" i="1"/>
  <c r="G24" i="1"/>
  <c r="M15" i="2"/>
  <c r="M14" i="2"/>
  <c r="G10" i="2"/>
  <c r="G13" i="1"/>
  <c r="G12" i="1"/>
  <c r="H12" i="1" s="1"/>
  <c r="G11" i="1"/>
  <c r="G10" i="1"/>
  <c r="G9" i="1"/>
  <c r="G7" i="1"/>
  <c r="H23" i="1" l="1"/>
  <c r="H26" i="1"/>
  <c r="H6" i="1"/>
  <c r="H17" i="1" s="1"/>
  <c r="H9" i="1"/>
  <c r="G16" i="1"/>
  <c r="H34" i="1" l="1"/>
</calcChain>
</file>

<file path=xl/sharedStrings.xml><?xml version="1.0" encoding="utf-8"?>
<sst xmlns="http://schemas.openxmlformats.org/spreadsheetml/2006/main" count="65" uniqueCount="35">
  <si>
    <t>Item A</t>
  </si>
  <si>
    <t>Item B</t>
  </si>
  <si>
    <t>Item C</t>
  </si>
  <si>
    <t>PEDIDO</t>
  </si>
  <si>
    <t>Pedido 1</t>
  </si>
  <si>
    <t>Pedido 2</t>
  </si>
  <si>
    <t>Item D</t>
  </si>
  <si>
    <t>Item E</t>
  </si>
  <si>
    <t>Item F</t>
  </si>
  <si>
    <t>PART NUMBER</t>
  </si>
  <si>
    <t>ESTOQUE</t>
  </si>
  <si>
    <t>FATUROU</t>
  </si>
  <si>
    <t>FILL RATE PEDIDO</t>
  </si>
  <si>
    <t>OTIF LINHA -  FILIAL</t>
  </si>
  <si>
    <t>OTIF PEDIDO -  FILIAL</t>
  </si>
  <si>
    <t>OTIF PEDIDO</t>
  </si>
  <si>
    <t>PEDIDO NORMAL e EMERGENCIAL - FILL RATE - ENTRADA PEDIDO VS ESTOQUE</t>
  </si>
  <si>
    <t>FILL RATE LINHA - FILIAL (MÉDIA DAS LINHAS)</t>
  </si>
  <si>
    <t>FILL RATE PEDIDO - FILIAL (MÉDIA DOS PEDIDOS)</t>
  </si>
  <si>
    <t>FILL RATE LINHA</t>
  </si>
  <si>
    <t>Pedido 3</t>
  </si>
  <si>
    <t>Item G</t>
  </si>
  <si>
    <t>Item H</t>
  </si>
  <si>
    <t>Item I</t>
  </si>
  <si>
    <t>LT</t>
  </si>
  <si>
    <t>Folga</t>
  </si>
  <si>
    <t>Qtde</t>
  </si>
  <si>
    <t>PC Prog.</t>
  </si>
  <si>
    <t>Aloca</t>
  </si>
  <si>
    <t>Data</t>
  </si>
  <si>
    <t>PEDIDO PROGRAMADO - OTIF  - DATA DA ENTREGA VS FATURAMENTO (ON TIME IN FULL)</t>
  </si>
  <si>
    <t>OTIF LINHA (Sim ou Não)</t>
  </si>
  <si>
    <t>QTDE no PC</t>
  </si>
  <si>
    <t>fill rate da linha e não do pedido, exemplo do pedido 1</t>
  </si>
  <si>
    <t>não é fill rate da linha quando é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</si>
</sst>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9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9" fontId="0" fillId="0" borderId="2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5" borderId="4" xfId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5" borderId="7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9" fontId="0" fillId="5" borderId="10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3" xfId="0" applyFill="1" applyBorder="1" applyAlignment="1">
      <alignment horizontal="center"/>
    </xf>
    <xf numFmtId="9" fontId="0" fillId="5" borderId="13" xfId="1" applyFont="1" applyFill="1" applyBorder="1" applyAlignment="1">
      <alignment horizontal="center"/>
    </xf>
    <xf numFmtId="9" fontId="0" fillId="3" borderId="7" xfId="1" applyFont="1" applyFill="1" applyBorder="1" applyAlignment="1">
      <alignment horizontal="center"/>
    </xf>
    <xf numFmtId="9" fontId="0" fillId="3" borderId="10" xfId="1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9" fontId="0" fillId="6" borderId="10" xfId="1" applyFont="1" applyFill="1" applyBorder="1" applyAlignment="1">
      <alignment horizontal="center"/>
    </xf>
    <xf numFmtId="9" fontId="0" fillId="6" borderId="7" xfId="1" applyFont="1" applyFill="1" applyBorder="1" applyAlignment="1">
      <alignment horizontal="center"/>
    </xf>
    <xf numFmtId="43" fontId="0" fillId="0" borderId="0" xfId="2" applyFont="1"/>
    <xf numFmtId="9" fontId="0" fillId="7" borderId="0" xfId="1" applyFont="1" applyFill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9" fontId="0" fillId="0" borderId="14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4" xfId="1" applyFont="1" applyFill="1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9" fontId="0" fillId="0" borderId="11" xfId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3" borderId="14" xfId="1" applyFont="1" applyFill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5" xfId="1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2BD0-81FD-4F7B-813B-9881996462C8}">
  <dimension ref="B3:L34"/>
  <sheetViews>
    <sheetView showGridLines="0" tabSelected="1" zoomScale="115" zoomScaleNormal="115" workbookViewId="0">
      <selection activeCell="G7" sqref="G7"/>
    </sheetView>
  </sheetViews>
  <sheetFormatPr defaultRowHeight="14.5" x14ac:dyDescent="0.35"/>
  <cols>
    <col min="2" max="2" width="18.26953125" customWidth="1"/>
    <col min="3" max="3" width="13.54296875" style="1" bestFit="1" customWidth="1"/>
    <col min="4" max="4" width="11.7265625" style="1" bestFit="1" customWidth="1"/>
    <col min="5" max="5" width="9.54296875" bestFit="1" customWidth="1"/>
    <col min="6" max="6" width="9.453125" bestFit="1" customWidth="1"/>
    <col min="7" max="7" width="24.1796875" bestFit="1" customWidth="1"/>
    <col min="8" max="8" width="17.453125" bestFit="1" customWidth="1"/>
  </cols>
  <sheetData>
    <row r="3" spans="2:12" x14ac:dyDescent="0.35">
      <c r="B3" s="41" t="s">
        <v>16</v>
      </c>
      <c r="C3" s="41"/>
      <c r="D3" s="41"/>
      <c r="E3" s="41"/>
      <c r="F3" s="41"/>
      <c r="G3" s="41"/>
      <c r="H3" s="41"/>
    </row>
    <row r="4" spans="2:12" ht="3" customHeight="1" x14ac:dyDescent="0.35"/>
    <row r="5" spans="2:12" x14ac:dyDescent="0.35">
      <c r="B5" s="2" t="s">
        <v>3</v>
      </c>
      <c r="C5" s="2" t="s">
        <v>9</v>
      </c>
      <c r="D5" s="10" t="s">
        <v>32</v>
      </c>
      <c r="E5" s="10" t="s">
        <v>10</v>
      </c>
      <c r="F5" s="2" t="s">
        <v>11</v>
      </c>
      <c r="G5" s="2" t="s">
        <v>19</v>
      </c>
      <c r="H5" s="2" t="s">
        <v>12</v>
      </c>
    </row>
    <row r="6" spans="2:12" x14ac:dyDescent="0.35">
      <c r="B6" s="12" t="s">
        <v>4</v>
      </c>
      <c r="C6" s="13" t="s">
        <v>0</v>
      </c>
      <c r="D6" s="14">
        <v>10</v>
      </c>
      <c r="E6" s="37">
        <v>10</v>
      </c>
      <c r="F6" s="13">
        <v>10</v>
      </c>
      <c r="G6" s="15">
        <f>IF(E6/D6&gt;=1,1,E6/D6)</f>
        <v>1</v>
      </c>
      <c r="H6" s="52">
        <f>IF(SUM(G6:G8)=COUNTA(G6:G8),1,0)</f>
        <v>0</v>
      </c>
    </row>
    <row r="7" spans="2:12" x14ac:dyDescent="0.35">
      <c r="B7" s="16" t="s">
        <v>4</v>
      </c>
      <c r="C7" s="17" t="s">
        <v>1</v>
      </c>
      <c r="D7" s="18">
        <v>5</v>
      </c>
      <c r="E7" s="38">
        <v>10</v>
      </c>
      <c r="F7" s="17">
        <v>5</v>
      </c>
      <c r="G7" s="19">
        <f t="shared" ref="G7" si="0">IF(E7/D7&gt;=1,1,E7/D7)</f>
        <v>1</v>
      </c>
      <c r="H7" s="50"/>
      <c r="L7" t="s">
        <v>33</v>
      </c>
    </row>
    <row r="8" spans="2:12" ht="15" thickBot="1" x14ac:dyDescent="0.4">
      <c r="B8" s="20" t="s">
        <v>4</v>
      </c>
      <c r="C8" s="21" t="s">
        <v>2</v>
      </c>
      <c r="D8" s="22">
        <v>30</v>
      </c>
      <c r="E8" s="39">
        <v>20</v>
      </c>
      <c r="F8" s="21">
        <v>10</v>
      </c>
      <c r="G8" s="33">
        <f>IF(E8/D8&gt;=1,1,E8/D8)</f>
        <v>0.66666666666666663</v>
      </c>
      <c r="H8" s="51"/>
      <c r="J8" s="36">
        <f>F8/D8</f>
        <v>0.33333333333333331</v>
      </c>
      <c r="L8" t="s">
        <v>34</v>
      </c>
    </row>
    <row r="9" spans="2:12" x14ac:dyDescent="0.35">
      <c r="B9" s="24" t="s">
        <v>5</v>
      </c>
      <c r="C9" s="25" t="s">
        <v>6</v>
      </c>
      <c r="D9" s="26">
        <v>100</v>
      </c>
      <c r="E9" s="40">
        <v>200</v>
      </c>
      <c r="F9" s="25">
        <v>50</v>
      </c>
      <c r="G9" s="27">
        <f t="shared" ref="G9:G11" si="1">IF(E9/D9&gt;=1,1,E9/D9)</f>
        <v>1</v>
      </c>
      <c r="H9" s="49">
        <f>IF(SUM(G9:G11)=COUNTA(G9:G11),1,0)</f>
        <v>0</v>
      </c>
    </row>
    <row r="10" spans="2:12" x14ac:dyDescent="0.35">
      <c r="B10" s="16" t="s">
        <v>5</v>
      </c>
      <c r="C10" s="17" t="s">
        <v>7</v>
      </c>
      <c r="D10" s="18">
        <v>10</v>
      </c>
      <c r="E10" s="38">
        <v>5</v>
      </c>
      <c r="F10" s="17">
        <v>5</v>
      </c>
      <c r="G10" s="34">
        <f t="shared" si="1"/>
        <v>0.5</v>
      </c>
      <c r="H10" s="50"/>
    </row>
    <row r="11" spans="2:12" ht="15" thickBot="1" x14ac:dyDescent="0.4">
      <c r="B11" s="20" t="s">
        <v>5</v>
      </c>
      <c r="C11" s="21" t="s">
        <v>8</v>
      </c>
      <c r="D11" s="22">
        <v>10</v>
      </c>
      <c r="E11" s="39">
        <v>0</v>
      </c>
      <c r="F11" s="21">
        <v>0</v>
      </c>
      <c r="G11" s="29">
        <f t="shared" si="1"/>
        <v>0</v>
      </c>
      <c r="H11" s="51"/>
    </row>
    <row r="12" spans="2:12" x14ac:dyDescent="0.35">
      <c r="B12" s="24" t="s">
        <v>20</v>
      </c>
      <c r="C12" s="25" t="s">
        <v>21</v>
      </c>
      <c r="D12" s="26">
        <v>100</v>
      </c>
      <c r="E12" s="40">
        <v>200</v>
      </c>
      <c r="F12" s="25">
        <v>100</v>
      </c>
      <c r="G12" s="27">
        <f t="shared" ref="G12:G13" si="2">IF(E12/D12&gt;=1,1,E12/D12)</f>
        <v>1</v>
      </c>
      <c r="H12" s="42">
        <f>IF(SUM(G12:G14)=COUNTA(G12:G14),1,0)</f>
        <v>1</v>
      </c>
    </row>
    <row r="13" spans="2:12" x14ac:dyDescent="0.35">
      <c r="B13" s="16" t="s">
        <v>20</v>
      </c>
      <c r="C13" s="17" t="s">
        <v>22</v>
      </c>
      <c r="D13" s="18">
        <v>30</v>
      </c>
      <c r="E13" s="38">
        <v>300</v>
      </c>
      <c r="F13" s="17">
        <v>10</v>
      </c>
      <c r="G13" s="19">
        <f t="shared" si="2"/>
        <v>1</v>
      </c>
      <c r="H13" s="43"/>
    </row>
    <row r="14" spans="2:12" ht="15" thickBot="1" x14ac:dyDescent="0.4">
      <c r="B14" s="20" t="s">
        <v>20</v>
      </c>
      <c r="C14" s="21" t="s">
        <v>23</v>
      </c>
      <c r="D14" s="22">
        <v>20</v>
      </c>
      <c r="E14" s="39">
        <v>50</v>
      </c>
      <c r="F14" s="21">
        <v>20</v>
      </c>
      <c r="G14" s="23">
        <f>IF(E14/D14&gt;=1,1,E14/D14)</f>
        <v>1</v>
      </c>
      <c r="H14" s="44"/>
    </row>
    <row r="15" spans="2:12" ht="3" customHeight="1" x14ac:dyDescent="0.35"/>
    <row r="16" spans="2:12" x14ac:dyDescent="0.35">
      <c r="B16" s="5" t="s">
        <v>17</v>
      </c>
      <c r="C16" s="6"/>
      <c r="D16" s="6"/>
      <c r="E16" s="7"/>
      <c r="F16" s="7"/>
      <c r="G16" s="8">
        <f>AVERAGE(G6:G14)</f>
        <v>0.79629629629629628</v>
      </c>
      <c r="H16" s="8"/>
    </row>
    <row r="17" spans="2:10" x14ac:dyDescent="0.35">
      <c r="B17" s="5" t="s">
        <v>18</v>
      </c>
      <c r="C17" s="6"/>
      <c r="D17" s="6"/>
      <c r="E17" s="7"/>
      <c r="F17" s="7"/>
      <c r="G17" s="8"/>
      <c r="H17" s="9">
        <f>AVERAGE(H6:H14)</f>
        <v>0.33333333333333331</v>
      </c>
    </row>
    <row r="18" spans="2:10" x14ac:dyDescent="0.35">
      <c r="B18" s="3"/>
      <c r="G18" s="4"/>
    </row>
    <row r="20" spans="2:10" x14ac:dyDescent="0.35">
      <c r="B20" s="41" t="s">
        <v>30</v>
      </c>
      <c r="C20" s="41"/>
      <c r="D20" s="41"/>
      <c r="E20" s="41"/>
      <c r="F20" s="41"/>
      <c r="G20" s="41"/>
      <c r="H20" s="41"/>
    </row>
    <row r="21" spans="2:10" ht="3" customHeight="1" x14ac:dyDescent="0.35"/>
    <row r="22" spans="2:10" x14ac:dyDescent="0.35">
      <c r="B22" s="2" t="s">
        <v>3</v>
      </c>
      <c r="C22" s="2" t="s">
        <v>9</v>
      </c>
      <c r="D22" s="10" t="s">
        <v>32</v>
      </c>
      <c r="E22" s="2" t="s">
        <v>10</v>
      </c>
      <c r="F22" s="10" t="s">
        <v>11</v>
      </c>
      <c r="G22" s="2" t="s">
        <v>31</v>
      </c>
      <c r="H22" s="2" t="s">
        <v>15</v>
      </c>
    </row>
    <row r="23" spans="2:10" x14ac:dyDescent="0.35">
      <c r="B23" s="12" t="s">
        <v>4</v>
      </c>
      <c r="C23" s="13" t="s">
        <v>0</v>
      </c>
      <c r="D23" s="14">
        <v>10</v>
      </c>
      <c r="E23" s="13">
        <v>10</v>
      </c>
      <c r="F23" s="14">
        <v>10</v>
      </c>
      <c r="G23" s="15">
        <f>IF(F23/D23&gt;=1,1,0)</f>
        <v>1</v>
      </c>
      <c r="H23" s="48">
        <f>IF(SUM(G23:G25)=COUNTA(G23:G25),1,0)</f>
        <v>1</v>
      </c>
    </row>
    <row r="24" spans="2:10" x14ac:dyDescent="0.35">
      <c r="B24" s="16" t="s">
        <v>4</v>
      </c>
      <c r="C24" s="17" t="s">
        <v>1</v>
      </c>
      <c r="D24" s="18">
        <v>5</v>
      </c>
      <c r="E24" s="17">
        <v>10</v>
      </c>
      <c r="F24" s="18">
        <v>5</v>
      </c>
      <c r="G24" s="19">
        <f t="shared" ref="G24:G28" si="3">IF(F24/D24&gt;=1,1,0)</f>
        <v>1</v>
      </c>
      <c r="H24" s="46"/>
    </row>
    <row r="25" spans="2:10" ht="15" thickBot="1" x14ac:dyDescent="0.4">
      <c r="B25" s="20" t="s">
        <v>4</v>
      </c>
      <c r="C25" s="21" t="s">
        <v>2</v>
      </c>
      <c r="D25" s="22">
        <v>30</v>
      </c>
      <c r="E25" s="21">
        <v>30</v>
      </c>
      <c r="F25" s="22">
        <v>30</v>
      </c>
      <c r="G25" s="23">
        <f>IF(F25/D25&gt;=1,1,0)</f>
        <v>1</v>
      </c>
      <c r="H25" s="47"/>
    </row>
    <row r="26" spans="2:10" x14ac:dyDescent="0.35">
      <c r="B26" s="24" t="s">
        <v>5</v>
      </c>
      <c r="C26" s="25" t="s">
        <v>6</v>
      </c>
      <c r="D26" s="26">
        <v>100</v>
      </c>
      <c r="E26" s="25">
        <v>200</v>
      </c>
      <c r="F26" s="26">
        <v>100</v>
      </c>
      <c r="G26" s="27">
        <f t="shared" si="3"/>
        <v>1</v>
      </c>
      <c r="H26" s="49">
        <f>IF(SUM(G26:G28)=COUNTA(G26:G28),1,0)</f>
        <v>0</v>
      </c>
    </row>
    <row r="27" spans="2:10" x14ac:dyDescent="0.35">
      <c r="B27" s="16" t="s">
        <v>5</v>
      </c>
      <c r="C27" s="17" t="s">
        <v>7</v>
      </c>
      <c r="D27" s="18">
        <v>10</v>
      </c>
      <c r="E27" s="17">
        <v>5</v>
      </c>
      <c r="F27" s="18">
        <v>5</v>
      </c>
      <c r="G27" s="28">
        <f t="shared" si="3"/>
        <v>0</v>
      </c>
      <c r="H27" s="50"/>
    </row>
    <row r="28" spans="2:10" ht="15" thickBot="1" x14ac:dyDescent="0.4">
      <c r="B28" s="20" t="s">
        <v>5</v>
      </c>
      <c r="C28" s="21" t="s">
        <v>8</v>
      </c>
      <c r="D28" s="22">
        <v>10</v>
      </c>
      <c r="E28" s="21">
        <v>0</v>
      </c>
      <c r="F28" s="22">
        <v>0</v>
      </c>
      <c r="G28" s="29">
        <f t="shared" si="3"/>
        <v>0</v>
      </c>
      <c r="H28" s="51"/>
    </row>
    <row r="29" spans="2:10" x14ac:dyDescent="0.35">
      <c r="B29" s="24" t="s">
        <v>20</v>
      </c>
      <c r="C29" s="25" t="s">
        <v>21</v>
      </c>
      <c r="D29" s="26">
        <v>100</v>
      </c>
      <c r="E29" s="25">
        <v>200</v>
      </c>
      <c r="F29" s="30">
        <v>100</v>
      </c>
      <c r="G29" s="27">
        <f t="shared" ref="G29:G31" si="4">IF(E29/D29&gt;=1,1,E29/D29)</f>
        <v>1</v>
      </c>
      <c r="H29" s="45">
        <f>IF(SUM(G29:G31)=COUNTA(G29:G31),1,0)</f>
        <v>1</v>
      </c>
    </row>
    <row r="30" spans="2:10" x14ac:dyDescent="0.35">
      <c r="B30" s="16" t="s">
        <v>20</v>
      </c>
      <c r="C30" s="17" t="s">
        <v>22</v>
      </c>
      <c r="D30" s="18">
        <v>30</v>
      </c>
      <c r="E30" s="17">
        <v>300</v>
      </c>
      <c r="F30" s="31">
        <v>10</v>
      </c>
      <c r="G30" s="19">
        <f t="shared" si="4"/>
        <v>1</v>
      </c>
      <c r="H30" s="46"/>
    </row>
    <row r="31" spans="2:10" ht="15" thickBot="1" x14ac:dyDescent="0.4">
      <c r="B31" s="20" t="s">
        <v>20</v>
      </c>
      <c r="C31" s="21" t="s">
        <v>23</v>
      </c>
      <c r="D31" s="22">
        <v>20</v>
      </c>
      <c r="E31" s="21">
        <v>50</v>
      </c>
      <c r="F31" s="32">
        <v>20</v>
      </c>
      <c r="G31" s="23">
        <f t="shared" si="4"/>
        <v>1</v>
      </c>
      <c r="H31" s="47"/>
      <c r="J31">
        <f>2/9*100</f>
        <v>22.222222222222221</v>
      </c>
    </row>
    <row r="32" spans="2:10" x14ac:dyDescent="0.35">
      <c r="J32" s="35">
        <f>100-J31</f>
        <v>77.777777777777771</v>
      </c>
    </row>
    <row r="33" spans="2:8" x14ac:dyDescent="0.35">
      <c r="B33" s="5" t="s">
        <v>13</v>
      </c>
      <c r="C33" s="6"/>
      <c r="D33" s="6"/>
      <c r="E33" s="7"/>
      <c r="F33" s="7"/>
      <c r="G33" s="8">
        <f>AVERAGE(G23:G31)</f>
        <v>0.77777777777777779</v>
      </c>
      <c r="H33" s="8"/>
    </row>
    <row r="34" spans="2:8" x14ac:dyDescent="0.35">
      <c r="B34" s="5" t="s">
        <v>14</v>
      </c>
      <c r="C34" s="6"/>
      <c r="D34" s="6"/>
      <c r="E34" s="7"/>
      <c r="F34" s="7"/>
      <c r="G34" s="8"/>
      <c r="H34" s="9">
        <f>AVERAGE(H23:H31)</f>
        <v>0.66666666666666663</v>
      </c>
    </row>
  </sheetData>
  <mergeCells count="8">
    <mergeCell ref="B3:H3"/>
    <mergeCell ref="B20:H20"/>
    <mergeCell ref="H12:H14"/>
    <mergeCell ref="H29:H31"/>
    <mergeCell ref="H23:H25"/>
    <mergeCell ref="H26:H28"/>
    <mergeCell ref="H6:H8"/>
    <mergeCell ref="H9:H11"/>
  </mergeCells>
  <pageMargins left="0.511811024" right="0.511811024" top="0.78740157499999996" bottom="0.78740157499999996" header="0.31496062000000002" footer="0.31496062000000002"/>
  <headerFooter>
    <oddFooter>&amp;C_x000D_&amp;1#&amp;"Aptos"&amp;10&amp;K000000 General - No protection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E57F-1317-43B2-8716-1B1B5FECAA2C}">
  <dimension ref="F4:M15"/>
  <sheetViews>
    <sheetView workbookViewId="0">
      <selection activeCell="J20" sqref="J20"/>
    </sheetView>
  </sheetViews>
  <sheetFormatPr defaultRowHeight="14.5" x14ac:dyDescent="0.35"/>
  <cols>
    <col min="7" max="7" width="10.453125" bestFit="1" customWidth="1"/>
    <col min="10" max="10" width="10.453125" bestFit="1" customWidth="1"/>
  </cols>
  <sheetData>
    <row r="4" spans="6:13" x14ac:dyDescent="0.35">
      <c r="F4" t="s">
        <v>26</v>
      </c>
      <c r="G4" t="s">
        <v>24</v>
      </c>
      <c r="H4" t="s">
        <v>25</v>
      </c>
      <c r="J4" s="11">
        <v>46023</v>
      </c>
    </row>
    <row r="5" spans="6:13" x14ac:dyDescent="0.35">
      <c r="F5">
        <v>10</v>
      </c>
      <c r="G5">
        <v>60</v>
      </c>
      <c r="H5">
        <v>30</v>
      </c>
    </row>
    <row r="8" spans="6:13" x14ac:dyDescent="0.35">
      <c r="G8" t="s">
        <v>29</v>
      </c>
      <c r="H8" t="s">
        <v>26</v>
      </c>
    </row>
    <row r="9" spans="6:13" x14ac:dyDescent="0.35">
      <c r="F9" t="s">
        <v>27</v>
      </c>
      <c r="G9" s="11">
        <v>46193</v>
      </c>
    </row>
    <row r="10" spans="6:13" x14ac:dyDescent="0.35">
      <c r="F10" t="s">
        <v>28</v>
      </c>
      <c r="G10" s="11">
        <f>G9-G5-H5</f>
        <v>46103</v>
      </c>
      <c r="H10">
        <v>5</v>
      </c>
    </row>
    <row r="14" spans="6:13" x14ac:dyDescent="0.35">
      <c r="K14">
        <v>50</v>
      </c>
      <c r="L14">
        <v>50</v>
      </c>
      <c r="M14">
        <f>SUM(K14:L14)</f>
        <v>100</v>
      </c>
    </row>
    <row r="15" spans="6:13" x14ac:dyDescent="0.35">
      <c r="J15">
        <v>50</v>
      </c>
      <c r="K15">
        <v>-50</v>
      </c>
      <c r="L15">
        <v>50</v>
      </c>
      <c r="M15">
        <f>SUM(J15:L15)</f>
        <v>50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General - No protection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Komatsu Forest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Piccoli</dc:creator>
  <cp:lastModifiedBy>Ramon Lara</cp:lastModifiedBy>
  <dcterms:created xsi:type="dcterms:W3CDTF">2025-11-17T17:27:34Z</dcterms:created>
  <dcterms:modified xsi:type="dcterms:W3CDTF">2025-12-15T17:07:43Z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0f1795-acd5-4d19-bff0-9b015d23b5ae_Enabled">
    <vt:lpwstr>true</vt:lpwstr>
  </property>
  <property fmtid="{D5CDD505-2E9C-101B-9397-08002B2CF9AE}" pid="3" name="MSIP_Label_080f1795-acd5-4d19-bff0-9b015d23b5ae_SetDate">
    <vt:lpwstr>2025-11-17T19:09:10Z</vt:lpwstr>
  </property>
  <property fmtid="{D5CDD505-2E9C-101B-9397-08002B2CF9AE}" pid="4" name="MSIP_Label_080f1795-acd5-4d19-bff0-9b015d23b5ae_Method">
    <vt:lpwstr>Standard</vt:lpwstr>
  </property>
  <property fmtid="{D5CDD505-2E9C-101B-9397-08002B2CF9AE}" pid="5" name="MSIP_Label_080f1795-acd5-4d19-bff0-9b015d23b5ae_Name">
    <vt:lpwstr>080f1795-acd5-4d19-bff0-9b015d23b5ae</vt:lpwstr>
  </property>
  <property fmtid="{D5CDD505-2E9C-101B-9397-08002B2CF9AE}" pid="6" name="MSIP_Label_080f1795-acd5-4d19-bff0-9b015d23b5ae_SiteId">
    <vt:lpwstr>fd4ab392-fc44-4e6b-aa0a-a6aa3a68ab5f</vt:lpwstr>
  </property>
  <property fmtid="{D5CDD505-2E9C-101B-9397-08002B2CF9AE}" pid="7" name="MSIP_Label_080f1795-acd5-4d19-bff0-9b015d23b5ae_ActionId">
    <vt:lpwstr>acd3f6e4-a677-41b2-a869-9a59a55afb89</vt:lpwstr>
  </property>
  <property fmtid="{D5CDD505-2E9C-101B-9397-08002B2CF9AE}" pid="8" name="MSIP_Label_080f1795-acd5-4d19-bff0-9b015d23b5ae_ContentBits">
    <vt:lpwstr>2</vt:lpwstr>
  </property>
  <property fmtid="{D5CDD505-2E9C-101B-9397-08002B2CF9AE}" pid="9" name="MSIP_Label_080f1795-acd5-4d19-bff0-9b015d23b5ae_Tag">
    <vt:lpwstr>10, 3, 0, 1</vt:lpwstr>
  </property>
</Properties>
</file>